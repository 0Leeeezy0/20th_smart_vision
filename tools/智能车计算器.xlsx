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<sst xmlns="http://schemas.openxmlformats.org/spreadsheetml/2006/main" count="15" uniqueCount="15">
  <si>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实际电流</t>
  </si>
  <si>
    <t xml:space="preserve"> 采样电阻</t>
  </si>
  <si>
    <t>采样电压</t>
  </si>
  <si>
    <t>增益系数</t>
  </si>
  <si>
    <t>输出电压</t>
  </si>
  <si>
    <t>ADC读取</t>
  </si>
  <si>
    <t>软件换算后</t>
  </si>
  <si>
    <t>编码器线数</t>
  </si>
  <si>
    <t>采样时间</t>
  </si>
  <si>
    <t>编码器实际值</t>
  </si>
  <si>
    <t>齿比</t>
  </si>
  <si>
    <t>周长/cm</t>
  </si>
  <si>
    <t>s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</si>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</sst>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1"/>
  <sheetViews>
    <sheetView tabSelected="1" zoomScale="145" zoomScaleNormal="145" workbookViewId="0">
      <selection activeCell="B6" sqref="B6"/>
    </sheetView>
  </sheetViews>
  <sheetFormatPr defaultColWidth="9" defaultRowHeight="13.85"/>
  <cols>
    <col min="2" max="2" width="11.929203539823" customWidth="1"/>
    <col min="4" max="4" width="12.8672566371681" customWidth="1"/>
    <col min="8" max="8" width="12" customWidth="1"/>
  </cols>
  <sheetData>
    <row r="2" spans="2:10">
      <c r="B2" s="1" t="s">
        <v>0</v>
      </c>
      <c r="C2" s="2" t="s">
        <v>1</v>
      </c>
      <c r="D2" s="2"/>
      <c r="E2" s="1" t="s">
        <v>2</v>
      </c>
      <c r="F2" s="1" t="s">
        <v>3</v>
      </c>
      <c r="G2" s="1" t="s">
        <v>4</v>
      </c>
      <c r="H2" s="1" t="s">
        <v>5</v>
      </c>
      <c r="I2" s="4" t="s">
        <v>6</v>
      </c>
      <c r="J2" s="4"/>
    </row>
    <row r="3" spans="2:10">
      <c r="B3" s="1">
        <v>7</v>
      </c>
      <c r="C3" s="3">
        <v>10</v>
      </c>
      <c r="D3" s="1">
        <f>C3/1000</f>
        <v>0.01</v>
      </c>
      <c r="E3" s="1">
        <f>B3*D3</f>
        <v>0.07</v>
      </c>
      <c r="F3" s="3">
        <v>20</v>
      </c>
      <c r="G3" s="1">
        <f>F3*E3</f>
        <v>1.4</v>
      </c>
      <c r="H3" s="1">
        <f>G3/3.3*4096</f>
        <v>1737.69696969697</v>
      </c>
      <c r="I3" s="4">
        <f>ABS(H3)/4096*3.3/F3/D3</f>
        <v>7</v>
      </c>
      <c r="J3" s="4"/>
    </row>
    <row r="4" spans="2:10">
      <c r="B4" s="1">
        <v>2</v>
      </c>
      <c r="C4" s="3">
        <v>100</v>
      </c>
      <c r="D4" s="1">
        <f t="shared" ref="D4:D6" si="0">C4/1000</f>
        <v>0.1</v>
      </c>
      <c r="E4" s="1">
        <f t="shared" ref="E4:E6" si="1">B4*D4</f>
        <v>0.2</v>
      </c>
      <c r="F4" s="3">
        <v>20</v>
      </c>
      <c r="G4" s="1">
        <f t="shared" ref="G4:G6" si="2">F4*E4</f>
        <v>4</v>
      </c>
      <c r="H4" s="1">
        <f t="shared" ref="H4:H6" si="3">G4/3.3*4096</f>
        <v>4964.84848484848</v>
      </c>
      <c r="I4" s="4">
        <f t="shared" ref="I4:I6" si="4">ABS(H4)/4096*3.3/F4/D4</f>
        <v>2</v>
      </c>
      <c r="J4" s="4"/>
    </row>
    <row r="5" spans="2:10">
      <c r="B5" s="1">
        <v>2</v>
      </c>
      <c r="C5" s="3">
        <v>2</v>
      </c>
      <c r="D5" s="1">
        <f t="shared" si="0"/>
        <v>0.002</v>
      </c>
      <c r="E5" s="1">
        <f t="shared" si="1"/>
        <v>0.004</v>
      </c>
      <c r="F5" s="3">
        <v>20</v>
      </c>
      <c r="G5" s="1">
        <f t="shared" si="2"/>
        <v>0.08</v>
      </c>
      <c r="H5" s="1">
        <f t="shared" si="3"/>
        <v>99.2969696969697</v>
      </c>
      <c r="I5" s="4">
        <f t="shared" si="4"/>
        <v>2</v>
      </c>
      <c r="J5" s="4"/>
    </row>
    <row r="6" spans="2:10">
      <c r="B6" s="1">
        <v>17</v>
      </c>
      <c r="C6" s="3">
        <v>2</v>
      </c>
      <c r="D6" s="1">
        <f t="shared" si="0"/>
        <v>0.002</v>
      </c>
      <c r="E6" s="1">
        <f t="shared" si="1"/>
        <v>0.034</v>
      </c>
      <c r="F6" s="3">
        <v>20</v>
      </c>
      <c r="G6" s="1">
        <f t="shared" si="2"/>
        <v>0.68</v>
      </c>
      <c r="H6" s="1">
        <f t="shared" si="3"/>
        <v>844.024242424243</v>
      </c>
      <c r="I6" s="4">
        <f t="shared" si="4"/>
        <v>17</v>
      </c>
      <c r="J6" s="4"/>
    </row>
    <row r="7" spans="2:10">
      <c r="B7" s="1"/>
      <c r="C7" s="3">
        <v>10</v>
      </c>
      <c r="D7" s="1">
        <f t="shared" ref="D7" si="5">C7/1000</f>
        <v>0.01</v>
      </c>
      <c r="E7" s="1">
        <f t="shared" ref="E7" si="6">B7*D7</f>
        <v>0</v>
      </c>
      <c r="F7" s="3">
        <v>20</v>
      </c>
      <c r="G7" s="1">
        <v>1.8</v>
      </c>
      <c r="H7" s="1">
        <f t="shared" ref="H7" si="7">G7/3.3*4096</f>
        <v>2234.18181818182</v>
      </c>
      <c r="I7" s="4">
        <f t="shared" ref="I7" si="8">ABS(H7)/4096*3.3/F7/D7</f>
        <v>9</v>
      </c>
      <c r="J7" s="4"/>
    </row>
    <row r="9" spans="2:9"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/>
      <c r="H9" s="1" t="s">
        <v>12</v>
      </c>
      <c r="I9" s="1">
        <f>D10/B10/E10*F10</f>
        <v>0.301376695793839</v>
      </c>
    </row>
    <row r="10" spans="2:9">
      <c r="B10" s="1">
        <v>512</v>
      </c>
      <c r="C10" s="1">
        <v>3</v>
      </c>
      <c r="D10" s="1">
        <v>35</v>
      </c>
      <c r="E10" s="1">
        <v>4.22</v>
      </c>
      <c r="F10" s="1">
        <v>18.6047584</v>
      </c>
      <c r="G10" s="1"/>
      <c r="H10" s="1" t="s">
        <v>13</v>
      </c>
      <c r="I10" s="1">
        <f>C11</f>
        <v>0.003</v>
      </c>
    </row>
    <row r="11" spans="2:9">
      <c r="B11" s="1"/>
      <c r="C11" s="1">
        <f>C10/1000</f>
        <v>0.003</v>
      </c>
      <c r="D11" s="1"/>
      <c r="E11" s="1"/>
      <c r="F11" s="1"/>
      <c r="G11" s="1"/>
      <c r="H11" s="1" t="s">
        <v>14</v>
      </c>
      <c r="I11" s="1">
        <f>I9/I10</f>
        <v>100.458898597946</v>
      </c>
    </row>
  </sheetData>
  <mergeCells count="7">
    <mergeCell ref="C2:D2"/>
    <mergeCell ref="I2:J2"/>
    <mergeCell ref="I3:J3"/>
    <mergeCell ref="I4:J4"/>
    <mergeCell ref="I5:J5"/>
    <mergeCell ref="I6:J6"/>
    <mergeCell ref="I7:J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宋诚</dc:creator>
  <cp:lastModifiedBy>Heat_Death</cp:lastModifiedBy>
  <dcterms:created xsi:type="dcterms:W3CDTF">2015-06-05T18:19:00Z</dcterms:created>
  <dcterms:modified xsi:type="dcterms:W3CDTF">2025-08-24T10:04:51Z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2B40AB40AD704FFD80F9D5588BE2965D_12</vt:lpwstr>
  </property>
  <property fmtid="{D5CDD505-2E9C-101B-9397-08002B2CF9AE}" pid="3" name="KSOProductBuildVer">
    <vt:lpwstr>2052-12.1.0.22529</vt:lpwstr>
  </property>
</Properties>
</file>